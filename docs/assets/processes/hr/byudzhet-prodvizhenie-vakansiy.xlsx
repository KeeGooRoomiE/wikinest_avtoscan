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readedComments/threadedComment2.xml" ContentType="application/vnd.ms-excel.threadedcomment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08.05.2024" sheetId="1" state="visible" r:id="rId2"/>
    <sheet name="15.05.2024" sheetId="2" state="visible" r:id="rId3"/>
    <sheet name="22.05.2024" sheetId="3" state="visible" r:id="rId4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tc={006900FA-00BB-444D-B200-00A20094005A}</author>
    <author>tc={00C00075-003F-4088-9473-004100140077}</author>
  </authors>
  <commentList>
    <comment ref="C7" authorId="0" xr:uid="{006900FA-00BB-444D-B200-00A20094005A}">
      <text>
        <r>
          <rPr>
            <b/>
            <sz val="9"/>
            <rFont val="Tahoma"/>
          </rPr>
          <t xml:space="preserve">Андрей Мачульский:</t>
        </r>
        <r>
          <rPr>
            <sz val="9"/>
            <rFont val="Tahoma"/>
          </rPr>
          <t xml:space="preserve">
Вакансия стандарт 26 специализаций с размещением на зарплате ру
</t>
        </r>
      </text>
    </comment>
    <comment ref="C8" authorId="1" xr:uid="{00C00075-003F-4088-9473-004100140077}">
      <text>
        <r>
          <rPr>
            <b/>
            <sz val="9"/>
            <rFont val="Tahoma"/>
          </rPr>
          <t xml:space="preserve">Андрей Мачульский:</t>
        </r>
        <r>
          <rPr>
            <sz val="9"/>
            <rFont val="Tahoma"/>
          </rPr>
          <t xml:space="preserve">
Вакансия стандарт 141 специализация с размещением на зарплате ру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tc={00BD003D-00A0-4A90-B1EC-006600590000}</author>
    <author>tc={009700B5-002E-4F3D-8160-002F006100DE}</author>
  </authors>
  <commentList>
    <comment ref="C7" authorId="0" xr:uid="{00BD003D-00A0-4A90-B1EC-006600590000}">
      <text>
        <r>
          <rPr>
            <b/>
            <sz val="9"/>
            <rFont val="Tahoma"/>
          </rPr>
          <t xml:space="preserve">Андрей Мачульский:</t>
        </r>
        <r>
          <rPr>
            <sz val="9"/>
            <rFont val="Tahoma"/>
          </rPr>
          <t xml:space="preserve">
Вакансия стандарт 26 специализаций с размещением на зарплате ру
</t>
        </r>
      </text>
    </comment>
    <comment ref="C8" authorId="1" xr:uid="{009700B5-002E-4F3D-8160-002F006100DE}">
      <text>
        <r>
          <rPr>
            <b/>
            <sz val="9"/>
            <rFont val="Tahoma"/>
          </rPr>
          <t xml:space="preserve">Андрей Мачульский:</t>
        </r>
        <r>
          <rPr>
            <sz val="9"/>
            <rFont val="Tahoma"/>
          </rPr>
          <t xml:space="preserve">
Вакансия стандарт 141 специализация с размещением на зарплате ру
</t>
        </r>
      </text>
    </comment>
  </commentList>
</comments>
</file>

<file path=xl/sharedStrings.xml><?xml version="1.0" encoding="utf-8"?>
<sst xmlns="http://schemas.openxmlformats.org/spreadsheetml/2006/main" count="20" uniqueCount="20">
  <si>
    <t>Хедхантер</t>
  </si>
  <si>
    <t>Авито</t>
  </si>
  <si>
    <t>Итого:</t>
  </si>
  <si>
    <t xml:space="preserve">Публикация вакансии</t>
  </si>
  <si>
    <t xml:space="preserve">Топ поиска</t>
  </si>
  <si>
    <t xml:space="preserve">Мультиразмещение/ кликми</t>
  </si>
  <si>
    <t xml:space="preserve">Монтажник КМР</t>
  </si>
  <si>
    <t xml:space="preserve">Монтажник НК</t>
  </si>
  <si>
    <t xml:space="preserve">Менеджер НК</t>
  </si>
  <si>
    <t xml:space="preserve">Монтажник ЕКБ</t>
  </si>
  <si>
    <t xml:space="preserve">Менеджер ЕКБ</t>
  </si>
  <si>
    <t xml:space="preserve">Общая сумма</t>
  </si>
  <si>
    <t xml:space="preserve">Зарплата Ру</t>
  </si>
  <si>
    <t>Город</t>
  </si>
  <si>
    <t>Вакансия</t>
  </si>
  <si>
    <t>КМР</t>
  </si>
  <si>
    <t>Монтажник</t>
  </si>
  <si>
    <t>МОП</t>
  </si>
  <si>
    <t>НК</t>
  </si>
  <si>
    <t>ЕКБ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</si>
</sst>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/>
    <xf fontId="0" fillId="0" borderId="0" numFmtId="0" xfId="0" applyAlignment="1">
      <alignment horizontal="center" vertical="center"/>
    </xf>
    <xf fontId="0" fillId="0" borderId="1" numFmtId="0" xfId="0" applyBorder="1"/>
    <xf fontId="0" fillId="0" borderId="1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0" numFmtId="0" xfId="0" applyAlignment="1">
      <alignment wrapText="1"/>
    </xf>
    <xf fontId="0" fillId="0" borderId="1" numFmtId="0" xfId="0" applyBorder="1" applyAlignment="1">
      <alignment wrapText="1"/>
    </xf>
    <xf fontId="0" fillId="0" borderId="1" numFmtId="0" xfId="0" applyBorder="1" applyAlignment="1">
      <alignment horizontal="center" vertical="center" wrapText="1"/>
    </xf>
    <xf fontId="0" fillId="0" borderId="3" numFmtId="0" xfId="0" applyBorder="1" applyAlignment="1">
      <alignment horizontal="center" vertical="center"/>
    </xf>
    <xf fontId="0" fillId="0" borderId="0" numFmtId="0" xfId="0" applyAlignment="1">
      <alignment horizontal="center" vertical="center" wrapText="1"/>
    </xf>
    <xf fontId="1" fillId="0" borderId="4" numFmtId="0" xfId="0" applyFont="1" applyBorder="1" applyAlignment="1">
      <alignment horizontal="center" textRotation="90" vertical="center"/>
    </xf>
    <xf fontId="1" fillId="0" borderId="5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10" numFmtId="0" xfId="0" applyFont="1" applyBorder="1" applyAlignment="1">
      <alignment horizontal="center" textRotation="90" vertical="center"/>
    </xf>
    <xf fontId="1" fillId="0" borderId="11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0" borderId="13" numFmtId="0" xfId="0" applyFont="1" applyBorder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1" fillId="0" borderId="4" numFmtId="0" xfId="0" applyFont="1" applyBorder="1" applyAlignment="1">
      <alignment horizontal="center" textRotation="90" vertical="center" wrapText="1"/>
    </xf>
    <xf fontId="1" fillId="0" borderId="16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center" wrapText="1"/>
    </xf>
    <xf fontId="0" fillId="0" borderId="17" numFmtId="0" xfId="0" applyBorder="1" applyAlignment="1">
      <alignment horizontal="center" vertical="center" wrapText="1"/>
    </xf>
    <xf fontId="0" fillId="0" borderId="9" numFmtId="0" xfId="0" applyBorder="1" applyAlignment="1">
      <alignment horizontal="center" vertical="center"/>
    </xf>
    <xf fontId="1" fillId="0" borderId="18" numFmtId="0" xfId="0" applyFont="1" applyBorder="1" applyAlignment="1">
      <alignment horizontal="center" textRotation="90" vertical="center" wrapText="1"/>
    </xf>
    <xf fontId="1" fillId="0" borderId="19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0" fillId="0" borderId="21" numFmtId="0" xfId="0" applyBorder="1" applyAlignment="1">
      <alignment horizontal="center" vertical="center"/>
    </xf>
    <xf fontId="1" fillId="0" borderId="10" numFmtId="0" xfId="0" applyFont="1" applyBorder="1" applyAlignment="1">
      <alignment horizontal="center" textRotation="90" vertical="center" wrapText="1"/>
    </xf>
    <xf fontId="1" fillId="0" borderId="22" numFmtId="0" xfId="0" applyFont="1" applyBorder="1" applyAlignment="1">
      <alignment horizontal="center" vertical="center" wrapText="1"/>
    </xf>
    <xf fontId="1" fillId="0" borderId="23" numFmtId="0" xfId="0" applyFont="1" applyBorder="1" applyAlignment="1">
      <alignment horizontal="center" vertical="center" wrapText="1"/>
    </xf>
    <xf fontId="0" fillId="0" borderId="15" numFmtId="0" xfId="0" applyBorder="1" applyAlignment="1">
      <alignment horizontal="center" vertical="center"/>
    </xf>
    <xf fontId="1" fillId="0" borderId="17" numFmtId="0" xfId="0" applyFont="1" applyBorder="1" applyAlignment="1">
      <alignment horizontal="center" vertical="center" wrapText="1"/>
    </xf>
    <xf fontId="0" fillId="0" borderId="7" numFmtId="0" xfId="0" applyBorder="1" applyAlignment="1">
      <alignment horizontal="center" vertical="center"/>
    </xf>
    <xf fontId="0" fillId="0" borderId="17" numFmtId="0" xfId="0" applyBorder="1" applyAlignment="1">
      <alignment horizontal="center" vertical="center"/>
    </xf>
    <xf fontId="0" fillId="0" borderId="20" numFmtId="0" xfId="0" applyBorder="1" applyAlignment="1">
      <alignment horizontal="center" vertical="center"/>
    </xf>
    <xf fontId="0" fillId="0" borderId="19" numFmtId="0" xfId="0" applyBorder="1"/>
    <xf fontId="0" fillId="0" borderId="22" numFmtId="0" xfId="0" applyBorder="1"/>
    <xf fontId="0" fillId="0" borderId="13" numFmtId="0" xfId="0" applyBorder="1" applyAlignment="1">
      <alignment horizontal="center" vertical="center"/>
    </xf>
    <xf fontId="0" fillId="0" borderId="23" numFmtId="0" xfId="0" applyBorder="1" applyAlignment="1">
      <alignment horizontal="center" vertical="center"/>
    </xf>
    <xf fontId="1" fillId="0" borderId="24" numFmtId="0" xfId="0" applyFont="1" applyBorder="1" applyAlignment="1">
      <alignment horizontal="center"/>
    </xf>
    <xf fontId="1" fillId="0" borderId="25" numFmtId="0" xfId="0" applyFont="1" applyBorder="1" applyAlignment="1">
      <alignment horizontal="center"/>
    </xf>
    <xf fontId="0" fillId="0" borderId="26" numFmtId="0" xfId="0" applyBorder="1" applyAlignment="1">
      <alignment horizontal="center" vertical="center"/>
    </xf>
    <xf fontId="0" fillId="0" borderId="27" numFmtId="0" xfId="0" applyBorder="1" applyAlignment="1">
      <alignment horizontal="center" vertical="center"/>
    </xf>
    <xf fontId="0" fillId="0" borderId="28" numFmt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ндрей Мачульский" id="{D249B465-F49D-920A-B052-1E7FA3E1100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personId="{D249B465-F49D-920A-B052-1E7FA3E11007}" id="{006900FA-00BB-444D-B200-00A20094005A}" done="0">
    <text xml:space="preserve">Вакансия стандарт 26 специализаций с размещением на зарплате ру
</text>
  </threadedComment>
  <threadedComment ref="C8" personId="{D249B465-F49D-920A-B052-1E7FA3E11007}" id="{00C00075-003F-4088-9473-004100140077}" done="0">
    <text xml:space="preserve">Вакансия стандарт 141 специализация с размещением на зарплате ру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" personId="{D249B465-F49D-920A-B052-1E7FA3E11007}" id="{00BD003D-00A0-4A90-B1EC-006600590000}" done="0">
    <text xml:space="preserve">Вакансия стандарт 26 специализаций с размещением на зарплате ру
</text>
  </threadedComment>
  <threadedComment ref="C8" personId="{D249B465-F49D-920A-B052-1E7FA3E11007}" id="{009700B5-002E-4F3D-8160-002F006100DE}" done="0">
    <text xml:space="preserve">Вакансия стандарт 141 специализация с размещением на зарплате ру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2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2.vml"/><Relationship  Id="rId2" Type="http://schemas.openxmlformats.org/officeDocument/2006/relationships/comments" Target="../comments2.xml"/><Relationship  Id="rId1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E18" activeCellId="0" sqref="E18"/>
    </sheetView>
  </sheetViews>
  <sheetFormatPr defaultRowHeight="14.4"/>
  <cols>
    <col customWidth="1" min="1" max="1" width="3"/>
    <col customWidth="1" min="2" max="2" width="23.44140625"/>
    <col customWidth="1" min="3" max="3" style="1" width="17.88671875"/>
    <col customWidth="1" min="4" max="4" style="1" width="20.77734375"/>
    <col customWidth="1" min="5" max="5" style="1" width="24.33203125"/>
    <col customWidth="1" min="6" max="6" style="1" width="15"/>
    <col min="7" max="8" style="1" width="8.88671875"/>
  </cols>
  <sheetData>
    <row r="2">
      <c r="B2" s="2"/>
      <c r="C2" s="3" t="s">
        <v>0</v>
      </c>
      <c r="D2" s="3"/>
      <c r="E2" s="3"/>
      <c r="F2" s="3" t="s">
        <v>1</v>
      </c>
      <c r="G2" s="4" t="s">
        <v>2</v>
      </c>
    </row>
    <row r="3" s="5" customFormat="1" ht="28.800000000000001">
      <c r="B3" s="6"/>
      <c r="C3" s="7" t="s">
        <v>3</v>
      </c>
      <c r="D3" s="7" t="s">
        <v>4</v>
      </c>
      <c r="E3" s="7" t="s">
        <v>5</v>
      </c>
      <c r="F3" s="7"/>
      <c r="G3" s="8"/>
      <c r="H3" s="9"/>
    </row>
    <row r="4">
      <c r="B4" s="2" t="s">
        <v>6</v>
      </c>
      <c r="C4" s="3"/>
      <c r="D4" s="3">
        <v>3000</v>
      </c>
      <c r="E4" s="3"/>
      <c r="F4" s="3">
        <v>5000</v>
      </c>
      <c r="G4" s="3">
        <f>SUM(C4:F4)</f>
        <v>8000</v>
      </c>
    </row>
    <row r="5">
      <c r="B5" s="2" t="s">
        <v>7</v>
      </c>
      <c r="C5" s="3"/>
      <c r="D5" s="3">
        <v>3000</v>
      </c>
      <c r="E5" s="3"/>
      <c r="F5" s="3">
        <v>5000</v>
      </c>
      <c r="G5" s="4">
        <f>SUM(C5:F6)</f>
        <v>9000</v>
      </c>
    </row>
    <row r="6">
      <c r="B6" s="2" t="s">
        <v>8</v>
      </c>
      <c r="C6" s="3"/>
      <c r="D6" s="3">
        <v>1000</v>
      </c>
      <c r="E6" s="3"/>
      <c r="F6" s="3"/>
      <c r="G6" s="8"/>
    </row>
    <row r="7">
      <c r="B7" s="2" t="s">
        <v>9</v>
      </c>
      <c r="C7" s="3">
        <v>3451</v>
      </c>
      <c r="D7" s="3">
        <v>3000</v>
      </c>
      <c r="E7" s="3">
        <v>9000</v>
      </c>
      <c r="F7" s="3">
        <v>5000</v>
      </c>
      <c r="G7" s="4">
        <f>SUM(C7:F8)</f>
        <v>27106</v>
      </c>
    </row>
    <row r="8">
      <c r="B8" s="2" t="s">
        <v>10</v>
      </c>
      <c r="C8" s="3">
        <v>3655</v>
      </c>
      <c r="D8" s="3">
        <v>3000</v>
      </c>
      <c r="E8" s="3"/>
      <c r="F8" s="3"/>
      <c r="G8" s="8"/>
    </row>
    <row r="9">
      <c r="B9" s="2" t="s">
        <v>11</v>
      </c>
      <c r="C9" s="3">
        <f>G4+G5+G7</f>
        <v>44106</v>
      </c>
      <c r="D9" s="3"/>
      <c r="E9" s="3"/>
      <c r="F9" s="3"/>
      <c r="G9" s="3"/>
    </row>
  </sheetData>
  <mergeCells count="5">
    <mergeCell ref="C2:E2"/>
    <mergeCell ref="C9:G9"/>
    <mergeCell ref="G2:G3"/>
    <mergeCell ref="G5:G6"/>
    <mergeCell ref="G7:G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1:1048576"/>
    </sheetView>
  </sheetViews>
  <sheetFormatPr defaultRowHeight="14.4"/>
  <cols>
    <col customWidth="1" min="1" max="1" width="3"/>
    <col customWidth="1" min="2" max="2" width="23.44140625"/>
    <col customWidth="1" min="3" max="3" style="1" width="17.88671875"/>
    <col customWidth="1" min="4" max="4" style="1" width="20.77734375"/>
    <col customWidth="1" min="5" max="5" style="1" width="24.33203125"/>
    <col customWidth="1" min="6" max="6" style="1" width="15"/>
    <col min="7" max="8" style="1" width="8.88671875"/>
  </cols>
  <sheetData>
    <row r="2">
      <c r="B2" s="2"/>
      <c r="C2" s="3" t="s">
        <v>0</v>
      </c>
      <c r="D2" s="3"/>
      <c r="E2" s="3"/>
      <c r="F2" s="3" t="s">
        <v>12</v>
      </c>
      <c r="G2" s="4" t="s">
        <v>2</v>
      </c>
    </row>
    <row r="3" s="5" customFormat="1" ht="28.800000000000001">
      <c r="B3" s="6"/>
      <c r="C3" s="7" t="s">
        <v>3</v>
      </c>
      <c r="D3" s="7" t="s">
        <v>4</v>
      </c>
      <c r="E3" s="7" t="s">
        <v>5</v>
      </c>
      <c r="F3" s="7"/>
      <c r="G3" s="8"/>
      <c r="H3" s="9"/>
    </row>
    <row r="4">
      <c r="B4" s="2" t="s">
        <v>6</v>
      </c>
      <c r="C4" s="3"/>
      <c r="D4" s="3">
        <v>2000</v>
      </c>
      <c r="E4" s="3"/>
      <c r="F4" s="3">
        <v>1600</v>
      </c>
      <c r="G4" s="3">
        <f>SUM(C4:F4)</f>
        <v>3600</v>
      </c>
    </row>
    <row r="5">
      <c r="B5" s="2" t="s">
        <v>7</v>
      </c>
      <c r="C5" s="3"/>
      <c r="D5" s="3">
        <v>2000</v>
      </c>
      <c r="E5" s="3"/>
      <c r="F5" s="3"/>
      <c r="G5" s="4">
        <f>SUM(C5:F6)</f>
        <v>3000</v>
      </c>
    </row>
    <row r="6">
      <c r="B6" s="2" t="s">
        <v>8</v>
      </c>
      <c r="C6" s="3"/>
      <c r="D6" s="3">
        <v>1000</v>
      </c>
      <c r="E6" s="3"/>
      <c r="F6" s="3"/>
      <c r="G6" s="8"/>
    </row>
    <row r="7">
      <c r="B7" s="2" t="s">
        <v>9</v>
      </c>
      <c r="C7" s="3"/>
      <c r="D7" s="3">
        <v>2000</v>
      </c>
      <c r="E7" s="3"/>
      <c r="F7" s="3">
        <v>4200</v>
      </c>
      <c r="G7" s="4">
        <f>SUM(C7:F8)</f>
        <v>8200</v>
      </c>
    </row>
    <row r="8">
      <c r="B8" s="2" t="s">
        <v>10</v>
      </c>
      <c r="C8" s="3"/>
      <c r="D8" s="3">
        <v>2000</v>
      </c>
      <c r="E8" s="3"/>
      <c r="F8" s="3"/>
      <c r="G8" s="8"/>
    </row>
    <row r="9">
      <c r="B9" s="2" t="s">
        <v>11</v>
      </c>
      <c r="C9" s="3">
        <f>G4+G5+G7</f>
        <v>14800</v>
      </c>
      <c r="D9" s="3"/>
      <c r="E9" s="3"/>
      <c r="F9" s="3"/>
      <c r="G9" s="3"/>
    </row>
  </sheetData>
  <mergeCells count="5">
    <mergeCell ref="C2:E2"/>
    <mergeCell ref="G2:G3"/>
    <mergeCell ref="G5:G6"/>
    <mergeCell ref="G7:G8"/>
    <mergeCell ref="C9:G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M16" activeCellId="0" sqref="M16"/>
    </sheetView>
  </sheetViews>
  <sheetFormatPr defaultRowHeight="14.4"/>
  <cols>
    <col customWidth="1" min="1" max="1" width="2"/>
    <col customWidth="1" min="2" max="2" style="1" width="4.88671875"/>
    <col customWidth="1" min="3" max="3" width="23.44140625"/>
    <col customWidth="1" min="4" max="4" style="1" width="17.88671875"/>
    <col customWidth="1" min="5" max="5" style="1" width="20.77734375"/>
    <col customWidth="1" min="6" max="7" style="1" width="24.33203125"/>
    <col customWidth="1" min="8" max="8" style="1" width="15"/>
    <col min="9" max="10" style="1" width="8.88671875"/>
  </cols>
  <sheetData>
    <row r="1" ht="15"/>
    <row r="2">
      <c r="B2" s="10" t="s">
        <v>13</v>
      </c>
      <c r="C2" s="11" t="s">
        <v>14</v>
      </c>
      <c r="D2" s="12" t="s">
        <v>0</v>
      </c>
      <c r="E2" s="13"/>
      <c r="F2" s="14"/>
      <c r="G2" s="15" t="s">
        <v>1</v>
      </c>
      <c r="H2" s="15" t="s">
        <v>12</v>
      </c>
      <c r="I2" s="15" t="s">
        <v>2</v>
      </c>
    </row>
    <row r="3" s="16" customFormat="1" ht="28.800000000000001">
      <c r="B3" s="17"/>
      <c r="C3" s="18"/>
      <c r="D3" s="19" t="s">
        <v>3</v>
      </c>
      <c r="E3" s="20" t="s">
        <v>4</v>
      </c>
      <c r="F3" s="21" t="s">
        <v>5</v>
      </c>
      <c r="G3" s="22"/>
      <c r="H3" s="22"/>
      <c r="I3" s="22"/>
      <c r="J3" s="23"/>
    </row>
    <row r="4" s="16" customFormat="1">
      <c r="B4" s="24" t="s">
        <v>15</v>
      </c>
      <c r="C4" s="25" t="s">
        <v>16</v>
      </c>
      <c r="D4" s="26"/>
      <c r="E4" s="26"/>
      <c r="F4" s="26"/>
      <c r="G4" s="26"/>
      <c r="H4" s="27">
        <v>3000</v>
      </c>
      <c r="I4" s="28">
        <f>SUM(D4:H8)</f>
        <v>3000</v>
      </c>
      <c r="J4" s="23"/>
    </row>
    <row r="5" s="16" customFormat="1">
      <c r="B5" s="29"/>
      <c r="C5" s="30" t="s">
        <v>17</v>
      </c>
      <c r="D5" s="31"/>
      <c r="E5" s="31"/>
      <c r="F5" s="31"/>
      <c r="G5" s="31"/>
      <c r="H5" s="32"/>
      <c r="I5" s="33"/>
      <c r="J5" s="23"/>
    </row>
    <row r="6" s="16" customFormat="1">
      <c r="B6" s="29"/>
      <c r="C6" s="30"/>
      <c r="D6" s="31"/>
      <c r="E6" s="31"/>
      <c r="F6" s="31"/>
      <c r="G6" s="31"/>
      <c r="H6" s="32"/>
      <c r="I6" s="33"/>
      <c r="J6" s="23"/>
    </row>
    <row r="7" s="16" customFormat="1">
      <c r="B7" s="29"/>
      <c r="C7" s="30"/>
      <c r="D7" s="31"/>
      <c r="E7" s="31"/>
      <c r="F7" s="31"/>
      <c r="G7" s="31"/>
      <c r="H7" s="32"/>
      <c r="I7" s="33"/>
      <c r="J7" s="23"/>
    </row>
    <row r="8" s="16" customFormat="1" ht="15">
      <c r="B8" s="34"/>
      <c r="C8" s="35"/>
      <c r="D8" s="20"/>
      <c r="E8" s="20"/>
      <c r="F8" s="20"/>
      <c r="G8" s="20"/>
      <c r="H8" s="36"/>
      <c r="I8" s="37"/>
      <c r="J8" s="23"/>
    </row>
    <row r="9" s="16" customFormat="1">
      <c r="B9" s="24" t="s">
        <v>18</v>
      </c>
      <c r="C9" s="25" t="s">
        <v>16</v>
      </c>
      <c r="D9" s="26"/>
      <c r="E9" s="26"/>
      <c r="F9" s="26"/>
      <c r="G9" s="26"/>
      <c r="H9" s="38"/>
      <c r="I9" s="28">
        <f>SUM(D9:H13)</f>
        <v>0</v>
      </c>
      <c r="J9" s="23"/>
    </row>
    <row r="10" s="16" customFormat="1">
      <c r="B10" s="29"/>
      <c r="C10" s="30" t="s">
        <v>17</v>
      </c>
      <c r="D10" s="31"/>
      <c r="E10" s="31"/>
      <c r="F10" s="31"/>
      <c r="G10" s="31"/>
      <c r="H10" s="32"/>
      <c r="I10" s="33"/>
      <c r="J10" s="23"/>
    </row>
    <row r="11" s="16" customFormat="1">
      <c r="B11" s="29"/>
      <c r="C11" s="30"/>
      <c r="D11" s="31"/>
      <c r="E11" s="31"/>
      <c r="F11" s="31"/>
      <c r="G11" s="31"/>
      <c r="H11" s="32"/>
      <c r="I11" s="33"/>
      <c r="J11" s="23"/>
    </row>
    <row r="12" s="16" customFormat="1">
      <c r="B12" s="29"/>
      <c r="C12" s="30"/>
      <c r="D12" s="31"/>
      <c r="E12" s="31"/>
      <c r="F12" s="31"/>
      <c r="G12" s="31"/>
      <c r="H12" s="32"/>
      <c r="I12" s="33"/>
      <c r="J12" s="23"/>
    </row>
    <row r="13" s="16" customFormat="1" ht="15">
      <c r="B13" s="34"/>
      <c r="C13" s="35"/>
      <c r="D13" s="20"/>
      <c r="E13" s="20"/>
      <c r="F13" s="20"/>
      <c r="G13" s="20"/>
      <c r="H13" s="36"/>
      <c r="I13" s="37"/>
      <c r="J13" s="23"/>
    </row>
    <row r="14">
      <c r="B14" s="24" t="s">
        <v>19</v>
      </c>
      <c r="C14" s="25" t="s">
        <v>16</v>
      </c>
      <c r="D14" s="39"/>
      <c r="E14" s="39"/>
      <c r="F14" s="39"/>
      <c r="G14" s="39"/>
      <c r="H14" s="40">
        <v>3000</v>
      </c>
      <c r="I14" s="28">
        <f>SUM(D14:H18)</f>
        <v>3000</v>
      </c>
    </row>
    <row r="15">
      <c r="B15" s="29"/>
      <c r="C15" s="30" t="s">
        <v>17</v>
      </c>
      <c r="D15" s="3"/>
      <c r="E15" s="3"/>
      <c r="F15" s="3"/>
      <c r="G15" s="3"/>
      <c r="H15" s="41"/>
      <c r="I15" s="33"/>
    </row>
    <row r="16">
      <c r="B16" s="29"/>
      <c r="C16" s="42"/>
      <c r="D16" s="3"/>
      <c r="E16" s="3"/>
      <c r="F16" s="3"/>
      <c r="G16" s="3"/>
      <c r="H16" s="41"/>
      <c r="I16" s="33"/>
    </row>
    <row r="17">
      <c r="B17" s="29"/>
      <c r="C17" s="42"/>
      <c r="D17" s="3"/>
      <c r="E17" s="3"/>
      <c r="F17" s="3"/>
      <c r="G17" s="3"/>
      <c r="H17" s="41"/>
      <c r="I17" s="33"/>
    </row>
    <row r="18" ht="15">
      <c r="B18" s="34"/>
      <c r="C18" s="43"/>
      <c r="D18" s="44"/>
      <c r="E18" s="44"/>
      <c r="F18" s="44"/>
      <c r="G18" s="44"/>
      <c r="H18" s="45"/>
      <c r="I18" s="37"/>
    </row>
    <row r="19" ht="15">
      <c r="B19" s="46" t="s">
        <v>11</v>
      </c>
      <c r="C19" s="47"/>
      <c r="D19" s="48">
        <f>I4+I9+I14</f>
        <v>6000</v>
      </c>
      <c r="E19" s="49"/>
      <c r="F19" s="49"/>
      <c r="G19" s="49"/>
      <c r="H19" s="49"/>
      <c r="I19" s="50"/>
    </row>
  </sheetData>
  <mergeCells count="14">
    <mergeCell ref="B2:B3"/>
    <mergeCell ref="C2:C3"/>
    <mergeCell ref="D2:F2"/>
    <mergeCell ref="G2:G3"/>
    <mergeCell ref="H2:H3"/>
    <mergeCell ref="I2:I3"/>
    <mergeCell ref="B4:B8"/>
    <mergeCell ref="I4:I8"/>
    <mergeCell ref="B9:B13"/>
    <mergeCell ref="I9:I13"/>
    <mergeCell ref="B14:B18"/>
    <mergeCell ref="I14:I18"/>
    <mergeCell ref="B19:C19"/>
    <mergeCell ref="D19:I1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Мачульский</dc:creator>
  <cp:lastModifiedBy>Станислав Петрушин</cp:lastModifiedBy>
  <cp:revision>1</cp:revision>
  <dcterms:created xsi:type="dcterms:W3CDTF">2015-06-05T18:19:34Z</dcterms:created>
  <dcterms:modified xsi:type="dcterms:W3CDTF">2026-07-17T03:35:44Z</dcterms:modified>
</cp:coreProperties>
</file>